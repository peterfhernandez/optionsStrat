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Live Trades" sheetId="2" state="visible" r:id="rId2"/>
    <sheet xmlns:r="http://schemas.openxmlformats.org/officeDocument/2006/relationships" name="📝 Paper Trades" sheetId="3" state="visible" r:id="rId3"/>
    <sheet xmlns:r="http://schemas.openxmlformats.org/officeDocument/2006/relationships" name="🔀 Strangles" sheetId="4" state="visible" r:id="rId4"/>
    <sheet xmlns:r="http://schemas.openxmlformats.org/officeDocument/2006/relationships" name="📈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3">
    <font>
      <name val="Calibri"/>
      <family val="2"/>
      <color theme="1"/>
      <sz val="11"/>
      <scheme val="minor"/>
    </font>
    <font>
      <name val="Arial"/>
      <b val="1"/>
      <color rgb="00E94560"/>
      <sz val="20"/>
    </font>
    <font>
      <name val="Arial"/>
      <b val="1"/>
      <color rgb="00E8E8E8"/>
      <sz val="10"/>
    </font>
    <font>
      <name val="Arial"/>
      <color rgb="00F5A623"/>
      <sz val="10"/>
    </font>
    <font>
      <name val="Arial"/>
      <color rgb="0027AE60"/>
      <sz val="10"/>
    </font>
    <font>
      <name val="Arial"/>
      <color rgb="00E8E8E8"/>
      <sz val="10"/>
    </font>
    <font>
      <name val="Arial"/>
      <i val="1"/>
      <color rgb="00888888"/>
      <sz val="9"/>
    </font>
    <font>
      <name val="Arial"/>
      <b val="1"/>
      <color rgb="00F5A623"/>
      <sz val="11"/>
    </font>
    <font>
      <name val="Arial"/>
      <b val="1"/>
      <color rgb="00E94560"/>
      <sz val="10"/>
    </font>
    <font>
      <name val="Arial"/>
      <i val="1"/>
      <color rgb="00666666"/>
      <sz val="9"/>
    </font>
    <font>
      <name val="Arial"/>
      <b val="1"/>
      <color rgb="00E94560"/>
      <sz val="16"/>
    </font>
    <font>
      <name val="Arial"/>
      <color rgb="0027AE60"/>
      <sz val="9"/>
    </font>
    <font>
      <name val="Arial"/>
      <color rgb="00E8E8E8"/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1a3a1a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6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</cols>
  <sheetData>
    <row r="2" ht="45" customHeight="1">
      <c r="B2" s="1" t="inlineStr">
        <is>
          <t>ETH OPTIONS STRATEGY TRACKER  v3</t>
        </is>
      </c>
    </row>
    <row r="4" ht="24" customHeight="1">
      <c r="B4" s="2" t="inlineStr">
        <is>
          <t>Budget (USD)</t>
        </is>
      </c>
      <c r="C4" s="3" t="inlineStr">
        <is>
          <t>250</t>
        </is>
      </c>
    </row>
    <row r="5" ht="24" customHeight="1">
      <c r="B5" s="2" t="inlineStr">
        <is>
          <t>Wheel — Total Paper Premium</t>
        </is>
      </c>
      <c r="C5" s="4">
        <f>'📝 Paper Trades'!K2</f>
        <v/>
      </c>
    </row>
    <row r="6" ht="24" customHeight="1">
      <c r="B6" s="2" t="inlineStr">
        <is>
          <t>Wheel — Paper Win Rate</t>
        </is>
      </c>
      <c r="C6" s="5">
        <f>'📝 Paper Trades'!L2</f>
        <v/>
      </c>
    </row>
    <row r="7" ht="24" customHeight="1">
      <c r="B7" s="2" t="inlineStr">
        <is>
          <t>Wheel — Paper Cycles</t>
        </is>
      </c>
      <c r="C7" s="6">
        <f>'📝 Paper Trades'!M2</f>
        <v/>
      </c>
    </row>
    <row r="8" ht="24" customHeight="1">
      <c r="B8" s="2" t="inlineStr">
        <is>
          <t>Strangle — Total Paper Premium</t>
        </is>
      </c>
      <c r="C8" s="4">
        <f>'🔀 Strangles'!H2</f>
        <v/>
      </c>
    </row>
    <row r="9" ht="24" customHeight="1">
      <c r="B9" s="2" t="inlineStr">
        <is>
          <t>Strangle — Paper Win Rate</t>
        </is>
      </c>
      <c r="C9" s="5">
        <f>'🔀 Strangles'!I2</f>
        <v/>
      </c>
    </row>
    <row r="10" ht="24" customHeight="1">
      <c r="B10" s="2" t="inlineStr">
        <is>
          <t>Strangle — Trades Completed</t>
        </is>
      </c>
      <c r="C10" s="6">
        <f>'🔀 Strangles'!J2</f>
        <v/>
      </c>
    </row>
    <row r="11" ht="24" customHeight="1">
      <c r="B11" s="2" t="inlineStr">
        <is>
          <t>Live — Total Premium</t>
        </is>
      </c>
      <c r="C11" s="4">
        <f>'📋 Live Trades'!K2</f>
        <v/>
      </c>
    </row>
    <row r="12" ht="24" customHeight="1">
      <c r="B12" s="2" t="inlineStr">
        <is>
          <t>Live — Win Rate</t>
        </is>
      </c>
      <c r="C12" s="5">
        <f>'📋 Live Trades'!L2</f>
        <v/>
      </c>
    </row>
    <row r="14" ht="18" customHeight="1">
      <c r="B14" s="7" t="inlineStr">
        <is>
          <t>ℹ  Premiums are Black-Scholes estimates. Paper trading only — not financial advice.</t>
        </is>
      </c>
    </row>
    <row r="16" ht="22" customHeight="1">
      <c r="B16" s="8" t="inlineStr">
        <is>
          <t>STRATEGY COMPARISON</t>
        </is>
      </c>
      <c r="C16" s="19" t="n"/>
      <c r="D16" s="19" t="n"/>
      <c r="E16" s="20" t="n"/>
    </row>
    <row r="17">
      <c r="B17" s="9" t="inlineStr">
        <is>
          <t>Strategy</t>
        </is>
      </c>
      <c r="C17" s="9" t="inlineStr">
        <is>
          <t>Max Income</t>
        </is>
      </c>
      <c r="D17" s="9" t="inlineStr">
        <is>
          <t>Risk</t>
        </is>
      </c>
      <c r="E17" s="9" t="inlineStr">
        <is>
          <t>Best Market</t>
        </is>
      </c>
    </row>
    <row r="18" ht="20" customHeight="1">
      <c r="B18" s="10" t="inlineStr">
        <is>
          <t>Wheel (CSP→CC)</t>
        </is>
      </c>
      <c r="C18" s="10" t="inlineStr">
        <is>
          <t>Medium</t>
        </is>
      </c>
      <c r="D18" s="10" t="inlineStr">
        <is>
          <t>Capped (put side)</t>
        </is>
      </c>
      <c r="E18" s="10" t="inlineStr">
        <is>
          <t>Mild bullish / sideways</t>
        </is>
      </c>
    </row>
    <row r="19" ht="20" customHeight="1">
      <c r="B19" s="11" t="inlineStr">
        <is>
          <t>Short Strangle</t>
        </is>
      </c>
      <c r="C19" s="11" t="inlineStr">
        <is>
          <t>High</t>
        </is>
      </c>
      <c r="D19" s="11" t="inlineStr">
        <is>
          <t>Unlimited</t>
        </is>
      </c>
      <c r="E19" s="11" t="inlineStr">
        <is>
          <t>Sideways / low vol</t>
        </is>
      </c>
    </row>
    <row r="20" ht="20" customHeight="1">
      <c r="B20" s="10" t="inlineStr">
        <is>
          <t>Short Straddle</t>
        </is>
      </c>
      <c r="C20" s="10" t="inlineStr">
        <is>
          <t>Highest</t>
        </is>
      </c>
      <c r="D20" s="10" t="inlineStr">
        <is>
          <t>Unlimited</t>
        </is>
      </c>
      <c r="E20" s="10" t="inlineStr">
        <is>
          <t>Very sideways</t>
        </is>
      </c>
    </row>
    <row r="21" ht="20" customHeight="1">
      <c r="B21" s="11" t="inlineStr">
        <is>
          <t>Iron Condor</t>
        </is>
      </c>
      <c r="C21" s="11" t="inlineStr">
        <is>
          <t>Low</t>
        </is>
      </c>
      <c r="D21" s="11" t="inlineStr">
        <is>
          <t>Capped ✓</t>
        </is>
      </c>
      <c r="E21" s="11" t="inlineStr">
        <is>
          <t>Range-bound</t>
        </is>
      </c>
    </row>
  </sheetData>
  <mergeCells count="3">
    <mergeCell ref="B14:E14"/>
    <mergeCell ref="B2:E2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18" customWidth="1" min="4" max="4"/>
    <col width="10" customWidth="1" min="5" max="5"/>
    <col width="13" customWidth="1" min="6" max="6"/>
    <col width="14" customWidth="1" min="7" max="7"/>
    <col width="14" customWidth="1" min="8" max="8"/>
    <col width="13" customWidth="1" min="9" max="9"/>
    <col width="13" customWidth="1" min="10" max="10"/>
    <col width="10" customWidth="1" min="11" max="11"/>
    <col width="18" customWidth="1" min="12" max="12"/>
    <col width="12" customWidth="1" min="13" max="13"/>
    <col width="12" customWidth="1" min="14" max="14"/>
    <col width="12" customWidth="1" min="15" max="15"/>
    <col width="28" customWidth="1" min="16" max="16"/>
  </cols>
  <sheetData>
    <row r="2" ht="1" customHeight="1">
      <c r="K2" s="12">
        <f>IF(COUNTA(I4:I5000)=0,0,SUM(I4:I5000))</f>
        <v/>
      </c>
      <c r="L2" s="13">
        <f>IF(COUNTA(J4:J5000)=0,0,COUNTIF(J4:J5000,"Win")/COUNTA(J4:J5000))</f>
        <v/>
      </c>
      <c r="M2">
        <f>COUNTIF(C4:C5000,"Call Expired Worthless")</f>
        <v/>
      </c>
    </row>
    <row r="3" ht="34" customHeight="1">
      <c r="B3" s="9" t="inlineStr">
        <is>
          <t>Date</t>
        </is>
      </c>
      <c r="C3" s="9" t="inlineStr">
        <is>
          <t>Type</t>
        </is>
      </c>
      <c r="D3" s="9" t="inlineStr">
        <is>
          <t>Stage</t>
        </is>
      </c>
      <c r="E3" s="9" t="inlineStr">
        <is>
          <t>Days</t>
        </is>
      </c>
      <c r="F3" s="9" t="inlineStr">
        <is>
          <t>Strike ($)</t>
        </is>
      </c>
      <c r="G3" s="9" t="inlineStr">
        <is>
          <t>Spot Open ($)</t>
        </is>
      </c>
      <c r="H3" s="9" t="inlineStr">
        <is>
          <t>Spot Close ($)</t>
        </is>
      </c>
      <c r="I3" s="9" t="inlineStr">
        <is>
          <t>Premium ($)</t>
        </is>
      </c>
      <c r="J3" s="9" t="inlineStr">
        <is>
          <t>P&amp;L ($)</t>
        </is>
      </c>
      <c r="K3" s="9" t="inlineStr">
        <is>
          <t>Result</t>
        </is>
      </c>
      <c r="L3" s="9" t="inlineStr">
        <is>
          <t>Cum. Premium ($)</t>
        </is>
      </c>
      <c r="M3" s="9" t="inlineStr">
        <is>
          <t>Win Rate</t>
        </is>
      </c>
      <c r="N3" s="9" t="inlineStr">
        <is>
          <t>Cycles</t>
        </is>
      </c>
      <c r="O3" s="9" t="inlineStr"/>
      <c r="P3" s="9" t="inlineStr">
        <is>
          <t>Notes</t>
        </is>
      </c>
    </row>
    <row r="4" ht="18" customHeight="1">
      <c r="B4" s="14" t="inlineStr">
        <is>
          <t>← Trades will appear here as you use the tool</t>
        </is>
      </c>
    </row>
  </sheetData>
  <mergeCells count="1">
    <mergeCell ref="B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18" customWidth="1" min="4" max="4"/>
    <col width="10" customWidth="1" min="5" max="5"/>
    <col width="13" customWidth="1" min="6" max="6"/>
    <col width="14" customWidth="1" min="7" max="7"/>
    <col width="14" customWidth="1" min="8" max="8"/>
    <col width="13" customWidth="1" min="9" max="9"/>
    <col width="13" customWidth="1" min="10" max="10"/>
    <col width="10" customWidth="1" min="11" max="11"/>
    <col width="18" customWidth="1" min="12" max="12"/>
    <col width="12" customWidth="1" min="13" max="13"/>
    <col width="12" customWidth="1" min="14" max="14"/>
    <col width="12" customWidth="1" min="15" max="15"/>
    <col width="28" customWidth="1" min="16" max="16"/>
  </cols>
  <sheetData>
    <row r="2" ht="1" customHeight="1">
      <c r="K2" s="12">
        <f>IF(COUNTA(I4:I5000)=0,0,SUM(I4:I5000))</f>
        <v/>
      </c>
      <c r="L2" s="13">
        <f>IF(COUNTA(J4:J5000)=0,0,COUNTIF(J4:J5000,"Win")/COUNTA(J4:J5000))</f>
        <v/>
      </c>
      <c r="M2">
        <f>COUNTIF(C4:C5000,"Call Expired Worthless")</f>
        <v/>
      </c>
    </row>
    <row r="3" ht="34" customHeight="1">
      <c r="B3" s="9" t="inlineStr">
        <is>
          <t>Date</t>
        </is>
      </c>
      <c r="C3" s="9" t="inlineStr">
        <is>
          <t>Type</t>
        </is>
      </c>
      <c r="D3" s="9" t="inlineStr">
        <is>
          <t>Stage</t>
        </is>
      </c>
      <c r="E3" s="9" t="inlineStr">
        <is>
          <t>Days</t>
        </is>
      </c>
      <c r="F3" s="9" t="inlineStr">
        <is>
          <t>Strike ($)</t>
        </is>
      </c>
      <c r="G3" s="9" t="inlineStr">
        <is>
          <t>Spot Open ($)</t>
        </is>
      </c>
      <c r="H3" s="9" t="inlineStr">
        <is>
          <t>Spot Close ($)</t>
        </is>
      </c>
      <c r="I3" s="9" t="inlineStr">
        <is>
          <t>Premium ($)</t>
        </is>
      </c>
      <c r="J3" s="9" t="inlineStr">
        <is>
          <t>P&amp;L ($)</t>
        </is>
      </c>
      <c r="K3" s="9" t="inlineStr">
        <is>
          <t>Result</t>
        </is>
      </c>
      <c r="L3" s="9" t="inlineStr">
        <is>
          <t>Cum. Premium ($)</t>
        </is>
      </c>
      <c r="M3" s="9" t="inlineStr">
        <is>
          <t>Win Rate</t>
        </is>
      </c>
      <c r="N3" s="9" t="inlineStr">
        <is>
          <t>Cycles</t>
        </is>
      </c>
      <c r="O3" s="9" t="inlineStr"/>
      <c r="P3" s="9" t="inlineStr">
        <is>
          <t>Notes</t>
        </is>
      </c>
    </row>
    <row r="4" ht="18" customHeight="1">
      <c r="B4" s="16" t="inlineStr">
        <is>
          <t>2026-04-25</t>
        </is>
      </c>
      <c r="C4" s="16" t="inlineStr">
        <is>
          <t>Put→Expired</t>
        </is>
      </c>
      <c r="D4" s="16" t="inlineStr">
        <is>
          <t>Closed</t>
        </is>
      </c>
      <c r="E4" s="17" t="n">
        <v>1</v>
      </c>
      <c r="F4" s="18" t="n">
        <v>1960</v>
      </c>
      <c r="G4" s="18" t="n">
        <v>2310.84</v>
      </c>
      <c r="H4" s="18" t="n">
        <v>2319</v>
      </c>
      <c r="I4" s="18" t="n">
        <v>0</v>
      </c>
      <c r="J4" s="16" t="n">
        <v>0</v>
      </c>
      <c r="K4" s="18" t="inlineStr">
        <is>
          <t>Win</t>
        </is>
      </c>
      <c r="L4" s="16">
        <f>SUM($I$4:I4)</f>
        <v/>
      </c>
      <c r="M4" s="16" t="inlineStr"/>
      <c r="N4" s="16" t="inlineStr"/>
      <c r="O4" s="16" t="inlineStr"/>
      <c r="P4" s="16" t="inlineStr">
        <is>
          <t>Paper expired 7d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6" customWidth="1" min="11" max="11"/>
    <col width="16" customWidth="1" min="12" max="12"/>
    <col width="28" customWidth="1" min="13" max="13"/>
  </cols>
  <sheetData>
    <row r="2" ht="1" customHeight="1">
      <c r="H2" s="12">
        <f>IF(COUNTA(H4:H5000)=0,0,SUM(H4:H5000))</f>
        <v/>
      </c>
      <c r="I2" s="13">
        <f>IF(COUNTA(K4:K5000)=0,0,COUNTIF(K4:K5000,"Win")/COUNTA(K4:K5000))</f>
        <v/>
      </c>
      <c r="J2">
        <f>COUNTA(A4:A5000)</f>
        <v/>
      </c>
    </row>
    <row r="3" ht="34" customHeight="1">
      <c r="B3" s="9" t="inlineStr">
        <is>
          <t>Date</t>
        </is>
      </c>
      <c r="C3" s="9" t="inlineStr">
        <is>
          <t>Type</t>
        </is>
      </c>
      <c r="D3" s="9" t="inlineStr">
        <is>
          <t>Put Strike</t>
        </is>
      </c>
      <c r="E3" s="9" t="inlineStr">
        <is>
          <t>Call Strike</t>
        </is>
      </c>
      <c r="F3" s="9" t="inlineStr">
        <is>
          <t>Spot Open</t>
        </is>
      </c>
      <c r="G3" s="9" t="inlineStr">
        <is>
          <t>Spot Close</t>
        </is>
      </c>
      <c r="H3" s="9" t="inlineStr">
        <is>
          <t>Days</t>
        </is>
      </c>
      <c r="I3" s="9" t="inlineStr">
        <is>
          <t>Premium ($)</t>
        </is>
      </c>
      <c r="J3" s="9" t="inlineStr">
        <is>
          <t>P&amp;L ($)</t>
        </is>
      </c>
      <c r="K3" s="9" t="inlineStr">
        <is>
          <t>Lower B/E</t>
        </is>
      </c>
      <c r="L3" s="9" t="inlineStr">
        <is>
          <t>Upper B/E</t>
        </is>
      </c>
      <c r="M3" s="9" t="inlineStr">
        <is>
          <t>Result</t>
        </is>
      </c>
      <c r="N3" s="9" t="inlineStr">
        <is>
          <t>Notes</t>
        </is>
      </c>
    </row>
    <row r="4" ht="18" customHeight="1">
      <c r="B4" s="16" t="inlineStr">
        <is>
          <t>2026-04-25</t>
        </is>
      </c>
      <c r="C4" s="16" t="inlineStr">
        <is>
          <t>Short Strangle — Expired</t>
        </is>
      </c>
      <c r="D4" s="17" t="n">
        <v>1970</v>
      </c>
      <c r="E4" s="17" t="n">
        <v>2660</v>
      </c>
      <c r="F4" s="18" t="n">
        <v>2314.17</v>
      </c>
      <c r="G4" s="18" t="n">
        <v>2319</v>
      </c>
      <c r="H4" s="18" t="n">
        <v>1</v>
      </c>
      <c r="I4" s="18" t="n">
        <v>0</v>
      </c>
      <c r="J4" s="17" t="n">
        <v>0</v>
      </c>
      <c r="K4" s="17" t="n">
        <v>1970</v>
      </c>
      <c r="L4" s="16" t="n">
        <v>2660</v>
      </c>
      <c r="M4" s="16" t="inlineStr">
        <is>
          <t>Win</t>
        </is>
      </c>
      <c r="N4" s="16" t="inlineStr">
        <is>
          <t>Held to expiry</t>
        </is>
      </c>
    </row>
    <row r="5" ht="18" customHeight="1">
      <c r="B5" s="21" t="inlineStr">
        <is>
          <t>2026-04-25</t>
        </is>
      </c>
      <c r="C5" s="21" t="inlineStr">
        <is>
          <t>Short Strangle — Open</t>
        </is>
      </c>
      <c r="D5" s="22" t="n">
        <v>2090</v>
      </c>
      <c r="E5" s="22" t="n">
        <v>2550</v>
      </c>
      <c r="F5" s="23" t="n">
        <v>2319.36</v>
      </c>
      <c r="G5" s="23" t="inlineStr"/>
      <c r="H5" s="23" t="n">
        <v>1</v>
      </c>
      <c r="I5" s="23" t="n">
        <v>0.06560000000000001</v>
      </c>
      <c r="J5" s="22" t="inlineStr"/>
      <c r="K5" s="22" t="n">
        <v>2089.391399936</v>
      </c>
      <c r="L5" s="21" t="n">
        <v>2550.608600064</v>
      </c>
      <c r="M5" s="21" t="inlineStr">
        <is>
          <t>Open</t>
        </is>
      </c>
      <c r="N5" s="21" t="inlineStr">
        <is>
          <t>Paper strangle, 1d expiry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 ht="40" customHeight="1">
      <c r="B2" s="15" t="inlineStr">
        <is>
          <t>CYCLE PERFORMANCE SUMMARY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2026-04-25T01:25:37Z</dcterms:created>
  <dcterms:modified xmlns:dcterms="http://purl.org/dc/terms/" xmlns:xsi="http://www.w3.org/2001/XMLSchema-instance" xsi:type="dcterms:W3CDTF">2026-04-25T04:23:45Z</dcterms:modified>
</cp:coreProperties>
</file>